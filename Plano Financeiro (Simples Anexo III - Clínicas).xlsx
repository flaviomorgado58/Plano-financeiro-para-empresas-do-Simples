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 1 Aulas\Administração e Economia\Empreendedorismo e Inovação\"/>
    </mc:Choice>
  </mc:AlternateContent>
  <xr:revisionPtr revIDLastSave="0" documentId="13_ncr:1_{B74FDD01-7FC6-4103-8A40-AD686BC864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cas" sheetId="5" r:id="rId1"/>
    <sheet name="Business Model Canvas" sheetId="6" r:id="rId2"/>
    <sheet name="Plano Financeiro" sheetId="4" r:id="rId3"/>
  </sheets>
  <definedNames>
    <definedName name="_xlnm.Print_Area" localSheetId="2">'Plano Financeiro'!$A$1:$G$28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7" i="4" l="1"/>
  <c r="F37" i="4"/>
  <c r="E37" i="4"/>
  <c r="D37" i="4"/>
  <c r="C37" i="4"/>
  <c r="G28" i="4"/>
  <c r="F28" i="4"/>
  <c r="E28" i="4"/>
  <c r="D28" i="4"/>
  <c r="C28" i="4"/>
  <c r="G14" i="4" l="1"/>
  <c r="F14" i="4"/>
  <c r="E14" i="4"/>
  <c r="D14" i="4"/>
  <c r="G9" i="4"/>
  <c r="G10" i="4" s="1"/>
  <c r="F9" i="4"/>
  <c r="F10" i="4" s="1"/>
  <c r="E9" i="4"/>
  <c r="E10" i="4" s="1"/>
  <c r="D9" i="4"/>
  <c r="D10" i="4" s="1"/>
  <c r="E11" i="4" l="1"/>
  <c r="E12" i="4"/>
  <c r="E18" i="4" s="1"/>
  <c r="G11" i="4"/>
  <c r="G12" i="4" s="1"/>
  <c r="G18" i="4" s="1"/>
  <c r="D11" i="4"/>
  <c r="D12" i="4" s="1"/>
  <c r="D18" i="4" s="1"/>
  <c r="F11" i="4"/>
  <c r="F12" i="4" s="1"/>
  <c r="F18" i="4" s="1"/>
  <c r="C14" i="4"/>
  <c r="B27" i="4" s="1"/>
  <c r="B28" i="4" s="1"/>
  <c r="B31" i="4" s="1"/>
  <c r="B35" i="4" s="1"/>
  <c r="B32" i="4" l="1"/>
  <c r="E19" i="4"/>
  <c r="E20" i="4" s="1"/>
  <c r="F19" i="4"/>
  <c r="F20" i="4" s="1"/>
  <c r="G19" i="4"/>
  <c r="G20" i="4" s="1"/>
  <c r="D19" i="4"/>
  <c r="D20" i="4" s="1"/>
  <c r="C9" i="4"/>
  <c r="C10" i="4" s="1"/>
  <c r="C11" i="4" l="1"/>
  <c r="C12" i="4" s="1"/>
  <c r="C18" i="4" s="1"/>
  <c r="E31" i="4" l="1"/>
  <c r="D31" i="4"/>
  <c r="D32" i="4" s="1"/>
  <c r="F31" i="4"/>
  <c r="G31" i="4"/>
  <c r="G32" i="4" s="1"/>
  <c r="C19" i="4"/>
  <c r="C20" i="4" s="1"/>
  <c r="E32" i="4" l="1"/>
  <c r="F32" i="4"/>
  <c r="C31" i="4"/>
  <c r="C32" i="4" l="1"/>
  <c r="B36" i="4" s="1"/>
  <c r="B33" i="4"/>
  <c r="B34" i="4"/>
  <c r="E35" i="4" l="1"/>
  <c r="F35" i="4"/>
  <c r="G35" i="4"/>
  <c r="D35" i="4"/>
  <c r="C35" i="4"/>
</calcChain>
</file>

<file path=xl/sharedStrings.xml><?xml version="1.0" encoding="utf-8"?>
<sst xmlns="http://schemas.openxmlformats.org/spreadsheetml/2006/main" count="78" uniqueCount="70">
  <si>
    <t>RECEITAS</t>
  </si>
  <si>
    <t>PREMISSAS</t>
  </si>
  <si>
    <t>Receita líquida</t>
  </si>
  <si>
    <t>CUSTOS/DESPESAS OPERACIONAIS</t>
  </si>
  <si>
    <t>Despesas de marketing</t>
  </si>
  <si>
    <t>Margem operacional</t>
  </si>
  <si>
    <t>Despesas/Receitas financeiras</t>
  </si>
  <si>
    <t>Lucro Líquido</t>
  </si>
  <si>
    <t>INVESTIMENTOS</t>
  </si>
  <si>
    <t>Equipamentos</t>
  </si>
  <si>
    <t>ano 2</t>
  </si>
  <si>
    <t>ano 5</t>
  </si>
  <si>
    <t>ano 3</t>
  </si>
  <si>
    <t>ano 4</t>
  </si>
  <si>
    <t>PLANO FINANCEIRO</t>
  </si>
  <si>
    <t>ano 1</t>
  </si>
  <si>
    <t>(P) Preço unitário (R$)</t>
  </si>
  <si>
    <t>(RB) Receita bruta (VxP)</t>
  </si>
  <si>
    <t>Desenvolvimento do produto</t>
  </si>
  <si>
    <t>TOTAL (Ano 0, antes de operar)</t>
  </si>
  <si>
    <t>Comissão sobre vendas</t>
  </si>
  <si>
    <t>% Comissão sobre vendas</t>
  </si>
  <si>
    <t>(C) Custo unitário variável (R$)</t>
  </si>
  <si>
    <t>ano 0 pré-operac.</t>
  </si>
  <si>
    <t>Ponto de Equilíbrio</t>
  </si>
  <si>
    <t>Fluxos de caixa líquidos</t>
  </si>
  <si>
    <t>Payback descontado (anos)</t>
  </si>
  <si>
    <t>Taxa de Atratividade</t>
  </si>
  <si>
    <t>Valor presente dos fluxos de caixa</t>
  </si>
  <si>
    <t>VPL (calculado pela fórmula =VPL)</t>
  </si>
  <si>
    <t>TIR (Taxa Interna de Retorno)</t>
  </si>
  <si>
    <t>Verificação da TIR</t>
  </si>
  <si>
    <t>Capital de giro (primeiros pagamentos, até a empresa se sustentar, aprox. 3 meses de gastos)</t>
  </si>
  <si>
    <t>Despesas pré-operacionais (registro, INPI, pesquisas, lançamento ...)</t>
  </si>
  <si>
    <r>
      <t>Impostos (</t>
    </r>
    <r>
      <rPr>
        <sz val="8"/>
        <color theme="1"/>
        <rFont val="Calibri"/>
        <family val="2"/>
        <scheme val="minor"/>
      </rPr>
      <t>Simples Nacional - Anexo III - Folha = 28%RB</t>
    </r>
    <r>
      <rPr>
        <sz val="12"/>
        <color theme="1"/>
        <rFont val="Calibri"/>
        <family val="2"/>
        <scheme val="minor"/>
      </rPr>
      <t>)</t>
    </r>
  </si>
  <si>
    <t xml:space="preserve">Custo fixo (Depreciação de equipamentos, aluguel, gastos com a fábrica etc.) </t>
  </si>
  <si>
    <t>Imóveis (ou reforma)</t>
  </si>
  <si>
    <t>Despesas administrativas (funcionários, informática, consumo etc.)</t>
  </si>
  <si>
    <t>(V) Previsão de vendas (unidades/ano)</t>
  </si>
  <si>
    <t>Custo variável (VxC ou valor anual digitado)</t>
  </si>
  <si>
    <r>
      <t>Quando preencher as células, apagar as dicas</t>
    </r>
    <r>
      <rPr>
        <b/>
        <sz val="11"/>
        <color theme="1"/>
        <rFont val="Calibri"/>
        <family val="2"/>
        <scheme val="minor"/>
      </rPr>
      <t>.           Dica do Excel:</t>
    </r>
    <r>
      <rPr>
        <sz val="11"/>
        <color theme="1"/>
        <rFont val="Calibri"/>
        <family val="2"/>
        <scheme val="minor"/>
      </rPr>
      <t xml:space="preserve"> para mudar de linha dentro da célula, teclar ALT+ENTER</t>
    </r>
  </si>
  <si>
    <t>Modelo de Negócios</t>
  </si>
  <si>
    <t>Elaborado para: Marca</t>
  </si>
  <si>
    <t>Elaborado por: Sócios</t>
  </si>
  <si>
    <t xml:space="preserve">Data: </t>
  </si>
  <si>
    <t>Versão 1.0.0</t>
  </si>
  <si>
    <t>Como?</t>
  </si>
  <si>
    <t xml:space="preserve">Parcerias-chave 
Qual empresa entrega junto? Principais Fornecedores?
</t>
  </si>
  <si>
    <t xml:space="preserve">Atividades-chave 
O que é feito para entregar o valor?
</t>
  </si>
  <si>
    <t xml:space="preserve">Oferta de valor 
O que é entregue? Que problema resolve? 
</t>
  </si>
  <si>
    <t xml:space="preserve">Relacionamento 
Como "amarra" / fideliza o cliente? 
</t>
  </si>
  <si>
    <t xml:space="preserve">Segmentos de Clientes 
Para quem entrega?
</t>
  </si>
  <si>
    <t>O quê?</t>
  </si>
  <si>
    <t xml:space="preserve">Recursos-chave 
O que é utilizado para as atividades-chave?
</t>
  </si>
  <si>
    <t xml:space="preserve">Canais 
Como divulga e entrega?
</t>
  </si>
  <si>
    <t>Para quem?</t>
  </si>
  <si>
    <t xml:space="preserve">Estrutura de Custos 
Definir valor de Investimentos, custo unitário ou total 
</t>
  </si>
  <si>
    <t xml:space="preserve">Fontes de Receita 
Definir previsão de vendas (quantidade) e preço unitário
</t>
  </si>
  <si>
    <t>Quanto?</t>
  </si>
  <si>
    <t xml:space="preserve">Elaborado para: </t>
  </si>
  <si>
    <t xml:space="preserve">Elaborado por: </t>
  </si>
  <si>
    <t xml:space="preserve">Parcerias-chave 
</t>
  </si>
  <si>
    <t xml:space="preserve">Atividades-chave 
</t>
  </si>
  <si>
    <t xml:space="preserve">Oferta de valor 
</t>
  </si>
  <si>
    <t xml:space="preserve">Relacionamento 
</t>
  </si>
  <si>
    <t xml:space="preserve">Segmentos de Clientes 
</t>
  </si>
  <si>
    <t xml:space="preserve">Recursos-chave 
</t>
  </si>
  <si>
    <t xml:space="preserve">Canais 
</t>
  </si>
  <si>
    <t xml:space="preserve">Estrutura de Custos 
</t>
  </si>
  <si>
    <t xml:space="preserve">Fontes de Receita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</si>
</sst>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_);[Red]\(&quot;R$&quot;\ #,##0.00\)"/>
    <numFmt numFmtId="165" formatCode="_(* #,##0.00_);_(* \(#,##0.00\);_(* &quot;-&quot;??_);_(@_)"/>
    <numFmt numFmtId="166" formatCode="_(* #,##0_);_(* \(#,##0\);_(* &quot;-&quot;??_);_(@_)"/>
    <numFmt numFmtId="167" formatCode="0.000%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1F7A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6" fillId="0" borderId="1" xfId="0" applyFont="1" applyBorder="1"/>
    <xf numFmtId="165" fontId="7" fillId="0" borderId="0" xfId="1" applyFont="1"/>
    <xf numFmtId="0" fontId="7" fillId="0" borderId="0" xfId="0" applyFont="1"/>
    <xf numFmtId="0" fontId="8" fillId="0" borderId="1" xfId="0" applyFont="1" applyBorder="1"/>
    <xf numFmtId="165" fontId="7" fillId="0" borderId="1" xfId="1" applyFont="1" applyBorder="1" applyAlignment="1">
      <alignment horizontal="center" wrapText="1"/>
    </xf>
    <xf numFmtId="165" fontId="7" fillId="0" borderId="1" xfId="1" applyFont="1" applyFill="1" applyBorder="1" applyAlignment="1">
      <alignment horizontal="center" wrapText="1"/>
    </xf>
    <xf numFmtId="0" fontId="9" fillId="0" borderId="1" xfId="0" applyFont="1" applyBorder="1"/>
    <xf numFmtId="165" fontId="7" fillId="2" borderId="1" xfId="1" applyFont="1" applyFill="1" applyBorder="1" applyProtection="1"/>
    <xf numFmtId="165" fontId="7" fillId="0" borderId="1" xfId="1" applyFont="1" applyBorder="1" applyProtection="1">
      <protection locked="0"/>
    </xf>
    <xf numFmtId="165" fontId="7" fillId="0" borderId="1" xfId="1" applyFont="1" applyBorder="1"/>
    <xf numFmtId="0" fontId="10" fillId="0" borderId="0" xfId="0" applyFont="1"/>
    <xf numFmtId="164" fontId="7" fillId="0" borderId="0" xfId="0" applyNumberFormat="1" applyFont="1"/>
    <xf numFmtId="167" fontId="7" fillId="0" borderId="0" xfId="1" applyNumberFormat="1" applyFon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6" fontId="7" fillId="3" borderId="1" xfId="1" applyNumberFormat="1" applyFont="1" applyFill="1" applyBorder="1" applyProtection="1">
      <protection locked="0"/>
    </xf>
    <xf numFmtId="165" fontId="7" fillId="3" borderId="1" xfId="1" applyFont="1" applyFill="1" applyBorder="1" applyProtection="1">
      <protection locked="0"/>
    </xf>
    <xf numFmtId="9" fontId="7" fillId="3" borderId="1" xfId="2" applyFont="1" applyFill="1" applyBorder="1" applyProtection="1">
      <protection locked="0"/>
    </xf>
    <xf numFmtId="165" fontId="7" fillId="3" borderId="1" xfId="1" applyFont="1" applyFill="1" applyBorder="1"/>
    <xf numFmtId="0" fontId="3" fillId="0" borderId="1" xfId="0" applyFont="1" applyBorder="1"/>
    <xf numFmtId="9" fontId="7" fillId="3" borderId="1" xfId="2" applyFont="1" applyFill="1" applyBorder="1"/>
    <xf numFmtId="166" fontId="11" fillId="0" borderId="1" xfId="1" applyNumberFormat="1" applyFont="1" applyBorder="1"/>
    <xf numFmtId="0" fontId="4" fillId="0" borderId="1" xfId="0" applyFont="1" applyBorder="1"/>
    <xf numFmtId="9" fontId="7" fillId="0" borderId="1" xfId="1" applyNumberFormat="1" applyFont="1" applyBorder="1"/>
    <xf numFmtId="0" fontId="7" fillId="0" borderId="1" xfId="0" quotePrefix="1" applyFont="1" applyBorder="1" applyAlignment="1">
      <alignment wrapText="1"/>
    </xf>
    <xf numFmtId="166" fontId="7" fillId="0" borderId="1" xfId="1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/>
    <xf numFmtId="0" fontId="14" fillId="0" borderId="2" xfId="0" applyFont="1" applyBorder="1" applyAlignment="1">
      <alignment vertical="top"/>
    </xf>
    <xf numFmtId="0" fontId="14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/>
    </xf>
    <xf numFmtId="0" fontId="0" fillId="4" borderId="1" xfId="0" applyFill="1" applyBorder="1"/>
    <xf numFmtId="0" fontId="0" fillId="0" borderId="1" xfId="0" applyBorder="1"/>
    <xf numFmtId="0" fontId="8" fillId="4" borderId="5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6" borderId="5" xfId="0" applyFont="1" applyFill="1" applyBorder="1" applyAlignment="1">
      <alignment horizontal="left" vertical="top" wrapText="1"/>
    </xf>
    <xf numFmtId="0" fontId="0" fillId="5" borderId="1" xfId="0" applyFill="1" applyBorder="1"/>
    <xf numFmtId="0" fontId="8" fillId="4" borderId="8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top" wrapText="1"/>
    </xf>
    <xf numFmtId="0" fontId="8" fillId="5" borderId="9" xfId="0" applyFont="1" applyFill="1" applyBorder="1" applyAlignment="1">
      <alignment horizontal="left" vertical="top" wrapText="1"/>
    </xf>
    <xf numFmtId="0" fontId="8" fillId="5" borderId="10" xfId="0" applyFont="1" applyFill="1" applyBorder="1" applyAlignment="1">
      <alignment horizontal="left" vertical="top" wrapText="1"/>
    </xf>
    <xf numFmtId="0" fontId="8" fillId="6" borderId="11" xfId="0" applyFont="1" applyFill="1" applyBorder="1" applyAlignment="1">
      <alignment horizontal="left" vertical="top" wrapText="1"/>
    </xf>
    <xf numFmtId="0" fontId="0" fillId="6" borderId="1" xfId="0" applyFill="1" applyBorder="1"/>
    <xf numFmtId="0" fontId="8" fillId="7" borderId="3" xfId="0" applyFont="1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7" borderId="1" xfId="0" applyFill="1" applyBorder="1"/>
    <xf numFmtId="0" fontId="8" fillId="6" borderId="11" xfId="0" applyFont="1" applyFill="1" applyBorder="1" applyAlignment="1">
      <alignment horizontal="left" vertical="top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FE5A-6173-49B7-AE3B-C83AD7233F27}">
  <dimension ref="A1:I5"/>
  <sheetViews>
    <sheetView workbookViewId="0">
      <selection activeCell="C2" sqref="C2:D2"/>
    </sheetView>
  </sheetViews>
  <sheetFormatPr defaultRowHeight="14.4" x14ac:dyDescent="0.3"/>
  <cols>
    <col min="1" max="2" width="30.6640625" customWidth="1"/>
    <col min="3" max="4" width="15.6640625" customWidth="1"/>
    <col min="5" max="6" width="30.6640625" customWidth="1"/>
    <col min="9" max="9" width="10.5546875" bestFit="1" customWidth="1"/>
  </cols>
  <sheetData>
    <row r="1" spans="1:9" ht="15" thickBot="1" x14ac:dyDescent="0.35">
      <c r="A1" t="s">
        <v>40</v>
      </c>
    </row>
    <row r="2" spans="1:9" ht="34.5" customHeight="1" thickBot="1" x14ac:dyDescent="0.35">
      <c r="A2" s="30" t="s">
        <v>41</v>
      </c>
      <c r="B2" s="31" t="s">
        <v>42</v>
      </c>
      <c r="C2" s="32" t="s">
        <v>43</v>
      </c>
      <c r="D2" s="33"/>
      <c r="E2" s="31" t="s">
        <v>44</v>
      </c>
      <c r="F2" s="31" t="s">
        <v>45</v>
      </c>
      <c r="H2" s="34"/>
      <c r="I2" s="35" t="s">
        <v>46</v>
      </c>
    </row>
    <row r="3" spans="1:9" ht="120" customHeight="1" thickBot="1" x14ac:dyDescent="0.35">
      <c r="A3" s="36" t="s">
        <v>47</v>
      </c>
      <c r="B3" s="37" t="s">
        <v>48</v>
      </c>
      <c r="C3" s="38" t="s">
        <v>49</v>
      </c>
      <c r="D3" s="39"/>
      <c r="E3" s="40" t="s">
        <v>50</v>
      </c>
      <c r="F3" s="41" t="s">
        <v>51</v>
      </c>
      <c r="H3" s="42"/>
      <c r="I3" s="35" t="s">
        <v>52</v>
      </c>
    </row>
    <row r="4" spans="1:9" ht="120" customHeight="1" thickBot="1" x14ac:dyDescent="0.35">
      <c r="A4" s="43"/>
      <c r="B4" s="44" t="s">
        <v>53</v>
      </c>
      <c r="C4" s="45"/>
      <c r="D4" s="46"/>
      <c r="E4" s="40" t="s">
        <v>54</v>
      </c>
      <c r="F4" s="47"/>
      <c r="H4" s="48"/>
      <c r="I4" s="35" t="s">
        <v>55</v>
      </c>
    </row>
    <row r="5" spans="1:9" ht="91.5" customHeight="1" thickBot="1" x14ac:dyDescent="0.35">
      <c r="A5" s="49" t="s">
        <v>56</v>
      </c>
      <c r="B5" s="50"/>
      <c r="C5" s="51"/>
      <c r="D5" s="49" t="s">
        <v>57</v>
      </c>
      <c r="E5" s="50"/>
      <c r="F5" s="51"/>
      <c r="H5" s="52"/>
      <c r="I5" s="35" t="s">
        <v>58</v>
      </c>
    </row>
  </sheetData>
  <mergeCells count="6">
    <mergeCell ref="C2:D2"/>
    <mergeCell ref="A3:A4"/>
    <mergeCell ref="C3:D4"/>
    <mergeCell ref="F3:F4"/>
    <mergeCell ref="A5:C5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05AC-4552-4115-94CE-410CEEE404F2}">
  <dimension ref="A1:I5"/>
  <sheetViews>
    <sheetView workbookViewId="0">
      <selection activeCell="C2" sqref="C2:D2"/>
    </sheetView>
  </sheetViews>
  <sheetFormatPr defaultRowHeight="14.4" x14ac:dyDescent="0.3"/>
  <cols>
    <col min="1" max="2" width="30.6640625" customWidth="1"/>
    <col min="3" max="4" width="15.6640625" customWidth="1"/>
    <col min="5" max="6" width="30.6640625" customWidth="1"/>
    <col min="9" max="9" width="10.5546875" bestFit="1" customWidth="1"/>
  </cols>
  <sheetData>
    <row r="1" spans="1:9" ht="15" thickBot="1" x14ac:dyDescent="0.35">
      <c r="A1" t="s">
        <v>40</v>
      </c>
    </row>
    <row r="2" spans="1:9" ht="34.5" customHeight="1" thickBot="1" x14ac:dyDescent="0.35">
      <c r="A2" s="30" t="s">
        <v>41</v>
      </c>
      <c r="B2" s="31" t="s">
        <v>59</v>
      </c>
      <c r="C2" s="32" t="s">
        <v>60</v>
      </c>
      <c r="D2" s="33"/>
      <c r="E2" s="31" t="s">
        <v>44</v>
      </c>
      <c r="F2" s="31" t="s">
        <v>45</v>
      </c>
      <c r="H2" s="34"/>
      <c r="I2" s="35" t="s">
        <v>46</v>
      </c>
    </row>
    <row r="3" spans="1:9" ht="120" customHeight="1" thickBot="1" x14ac:dyDescent="0.35">
      <c r="A3" s="36" t="s">
        <v>61</v>
      </c>
      <c r="B3" s="37" t="s">
        <v>62</v>
      </c>
      <c r="C3" s="38" t="s">
        <v>63</v>
      </c>
      <c r="D3" s="39"/>
      <c r="E3" s="40" t="s">
        <v>64</v>
      </c>
      <c r="F3" s="41" t="s">
        <v>65</v>
      </c>
      <c r="H3" s="42"/>
      <c r="I3" s="35" t="s">
        <v>52</v>
      </c>
    </row>
    <row r="4" spans="1:9" ht="120" customHeight="1" thickBot="1" x14ac:dyDescent="0.35">
      <c r="A4" s="43"/>
      <c r="B4" s="44" t="s">
        <v>66</v>
      </c>
      <c r="C4" s="45"/>
      <c r="D4" s="46"/>
      <c r="E4" s="40" t="s">
        <v>67</v>
      </c>
      <c r="F4" s="53"/>
      <c r="H4" s="48"/>
      <c r="I4" s="35" t="s">
        <v>55</v>
      </c>
    </row>
    <row r="5" spans="1:9" ht="91.5" customHeight="1" thickBot="1" x14ac:dyDescent="0.35">
      <c r="A5" s="49" t="s">
        <v>68</v>
      </c>
      <c r="B5" s="50"/>
      <c r="C5" s="51"/>
      <c r="D5" s="49" t="s">
        <v>69</v>
      </c>
      <c r="E5" s="50"/>
      <c r="F5" s="51"/>
      <c r="H5" s="52"/>
      <c r="I5" s="35" t="s">
        <v>58</v>
      </c>
    </row>
  </sheetData>
  <mergeCells count="6">
    <mergeCell ref="C2:D2"/>
    <mergeCell ref="A3:A4"/>
    <mergeCell ref="C3:D4"/>
    <mergeCell ref="F3:F4"/>
    <mergeCell ref="A5:C5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0" zoomScaleNormal="140" workbookViewId="0">
      <selection activeCell="A16" sqref="A16"/>
    </sheetView>
  </sheetViews>
  <sheetFormatPr defaultColWidth="9.109375" defaultRowHeight="14.4" x14ac:dyDescent="0.3"/>
  <cols>
    <col min="1" max="1" width="40" style="3" customWidth="1"/>
    <col min="2" max="2" width="12.6640625" style="2" bestFit="1" customWidth="1"/>
    <col min="3" max="6" width="12" style="2" bestFit="1" customWidth="1"/>
    <col min="7" max="7" width="13.88671875" style="2" bestFit="1" customWidth="1"/>
    <col min="8" max="9" width="9.109375" style="3"/>
    <col min="10" max="10" width="9.88671875" style="3" bestFit="1" customWidth="1"/>
    <col min="11" max="16384" width="9.109375" style="3"/>
  </cols>
  <sheetData>
    <row r="1" spans="1:7" ht="27" customHeight="1" x14ac:dyDescent="0.45">
      <c r="A1" s="1" t="s">
        <v>14</v>
      </c>
    </row>
    <row r="2" spans="1:7" ht="28.8" x14ac:dyDescent="0.3">
      <c r="A2" s="4" t="s">
        <v>1</v>
      </c>
      <c r="B2" s="5" t="s">
        <v>23</v>
      </c>
      <c r="C2" s="5" t="s">
        <v>15</v>
      </c>
      <c r="D2" s="6" t="s">
        <v>10</v>
      </c>
      <c r="E2" s="6" t="s">
        <v>12</v>
      </c>
      <c r="F2" s="6" t="s">
        <v>13</v>
      </c>
      <c r="G2" s="6" t="s">
        <v>11</v>
      </c>
    </row>
    <row r="3" spans="1:7" ht="15.6" x14ac:dyDescent="0.3">
      <c r="A3" s="28" t="s">
        <v>38</v>
      </c>
      <c r="B3" s="8"/>
      <c r="C3" s="16"/>
      <c r="D3" s="16"/>
      <c r="E3" s="16"/>
      <c r="F3" s="16"/>
      <c r="G3" s="16"/>
    </row>
    <row r="4" spans="1:7" ht="15.6" x14ac:dyDescent="0.3">
      <c r="A4" s="7" t="s">
        <v>16</v>
      </c>
      <c r="B4" s="8"/>
      <c r="C4" s="17"/>
      <c r="D4" s="17"/>
      <c r="E4" s="17"/>
      <c r="F4" s="17"/>
      <c r="G4" s="17"/>
    </row>
    <row r="5" spans="1:7" ht="15.6" x14ac:dyDescent="0.3">
      <c r="A5" s="7" t="s">
        <v>22</v>
      </c>
      <c r="B5" s="8"/>
      <c r="C5" s="17"/>
      <c r="D5" s="17"/>
      <c r="E5" s="17"/>
      <c r="F5" s="17"/>
      <c r="G5" s="17"/>
    </row>
    <row r="6" spans="1:7" ht="15.6" x14ac:dyDescent="0.3">
      <c r="A6" s="7" t="s">
        <v>21</v>
      </c>
      <c r="B6" s="8"/>
      <c r="C6" s="18"/>
      <c r="D6" s="18"/>
      <c r="E6" s="18"/>
      <c r="F6" s="18"/>
      <c r="G6" s="18"/>
    </row>
    <row r="7" spans="1:7" ht="15.6" x14ac:dyDescent="0.3">
      <c r="A7" s="7"/>
      <c r="B7" s="8"/>
      <c r="C7" s="9"/>
      <c r="D7" s="9"/>
      <c r="E7" s="9"/>
      <c r="F7" s="9"/>
      <c r="G7" s="9"/>
    </row>
    <row r="8" spans="1:7" ht="15.6" x14ac:dyDescent="0.3">
      <c r="A8" s="4" t="s">
        <v>0</v>
      </c>
      <c r="B8" s="8"/>
      <c r="C8" s="9"/>
      <c r="D8" s="9"/>
      <c r="E8" s="9"/>
      <c r="F8" s="9"/>
      <c r="G8" s="9"/>
    </row>
    <row r="9" spans="1:7" ht="15.6" x14ac:dyDescent="0.3">
      <c r="A9" s="29" t="s">
        <v>17</v>
      </c>
      <c r="B9" s="8"/>
      <c r="C9" s="9">
        <f>+C3*C4</f>
        <v>0</v>
      </c>
      <c r="D9" s="9">
        <f t="shared" ref="D9:G9" si="0">+D3*D4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</row>
    <row r="10" spans="1:7" ht="15.6" x14ac:dyDescent="0.3">
      <c r="A10" s="27" t="s">
        <v>34</v>
      </c>
      <c r="B10" s="8"/>
      <c r="C10" s="9">
        <f>IF(C9&lt;=180000,C9*0.06,IF(C9&lt;=360000,C9*0.112-9360,IF(C9&lt;=720000,C9*0.135-17640,IF(C9&lt;=1800000,C9*0.16-35640,IF(C9&lt;=3600000,C9*0.21-125640,IF(C9&lt;=4800000,C9*0.33-648000,"Fora do Simples"))))))</f>
        <v>0</v>
      </c>
      <c r="D10" s="9">
        <f t="shared" ref="D10:G10" si="1">IF(D9&lt;=180000,D9*0.06,IF(D9&lt;=360000,D9*0.112-9360,IF(D9&lt;=720000,D9*0.135-17640,IF(D9&lt;=1800000,D9*0.16-35640,IF(D9&lt;=3600000,D9*0.21-125640,IF(D9&lt;=4800000,D9*0.33-648000,"Fora do Simples"))))))</f>
        <v>0</v>
      </c>
      <c r="E10" s="9">
        <f t="shared" si="1"/>
        <v>0</v>
      </c>
      <c r="F10" s="9">
        <f t="shared" si="1"/>
        <v>0</v>
      </c>
      <c r="G10" s="9">
        <f t="shared" si="1"/>
        <v>0</v>
      </c>
    </row>
    <row r="11" spans="1:7" ht="15.6" x14ac:dyDescent="0.3">
      <c r="A11" s="7" t="s">
        <v>20</v>
      </c>
      <c r="B11" s="8"/>
      <c r="C11" s="9">
        <f t="shared" ref="C11:G11" si="2">C9*C6</f>
        <v>0</v>
      </c>
      <c r="D11" s="9">
        <f t="shared" si="2"/>
        <v>0</v>
      </c>
      <c r="E11" s="9">
        <f t="shared" si="2"/>
        <v>0</v>
      </c>
      <c r="F11" s="9">
        <f t="shared" si="2"/>
        <v>0</v>
      </c>
      <c r="G11" s="9">
        <f t="shared" si="2"/>
        <v>0</v>
      </c>
    </row>
    <row r="12" spans="1:7" ht="15.6" x14ac:dyDescent="0.3">
      <c r="A12" s="7" t="s">
        <v>2</v>
      </c>
      <c r="B12" s="8"/>
      <c r="C12" s="9">
        <f>+C9-C10-C11</f>
        <v>0</v>
      </c>
      <c r="D12" s="9">
        <f t="shared" ref="D12:G12" si="3">+D9-D10-D11</f>
        <v>0</v>
      </c>
      <c r="E12" s="9">
        <f t="shared" si="3"/>
        <v>0</v>
      </c>
      <c r="F12" s="9">
        <f t="shared" si="3"/>
        <v>0</v>
      </c>
      <c r="G12" s="9">
        <f t="shared" si="3"/>
        <v>0</v>
      </c>
    </row>
    <row r="13" spans="1:7" ht="15.6" x14ac:dyDescent="0.3">
      <c r="A13" s="4" t="s">
        <v>3</v>
      </c>
      <c r="B13" s="8"/>
      <c r="C13" s="9"/>
      <c r="D13" s="9"/>
      <c r="E13" s="9"/>
      <c r="F13" s="9"/>
      <c r="G13" s="9"/>
    </row>
    <row r="14" spans="1:7" ht="16.8" customHeight="1" x14ac:dyDescent="0.3">
      <c r="A14" s="27" t="s">
        <v>39</v>
      </c>
      <c r="B14" s="8"/>
      <c r="C14" s="9">
        <f>C5*C3</f>
        <v>0</v>
      </c>
      <c r="D14" s="9">
        <f t="shared" ref="D14:G14" si="4">D5*D3</f>
        <v>0</v>
      </c>
      <c r="E14" s="9">
        <f t="shared" si="4"/>
        <v>0</v>
      </c>
      <c r="F14" s="9">
        <f t="shared" si="4"/>
        <v>0</v>
      </c>
      <c r="G14" s="9">
        <f t="shared" si="4"/>
        <v>0</v>
      </c>
    </row>
    <row r="15" spans="1:7" ht="31.8" customHeight="1" x14ac:dyDescent="0.3">
      <c r="A15" s="27" t="s">
        <v>35</v>
      </c>
      <c r="B15" s="8"/>
      <c r="C15" s="17"/>
      <c r="D15" s="17"/>
      <c r="E15" s="17"/>
      <c r="F15" s="17"/>
      <c r="G15" s="17"/>
    </row>
    <row r="16" spans="1:7" ht="15.6" x14ac:dyDescent="0.3">
      <c r="A16" s="7" t="s">
        <v>4</v>
      </c>
      <c r="B16" s="8"/>
      <c r="C16" s="17"/>
      <c r="D16" s="17"/>
      <c r="E16" s="17"/>
      <c r="F16" s="17"/>
      <c r="G16" s="17"/>
    </row>
    <row r="17" spans="1:7" ht="31.2" x14ac:dyDescent="0.3">
      <c r="A17" s="27" t="s">
        <v>37</v>
      </c>
      <c r="B17" s="8"/>
      <c r="C17" s="17"/>
      <c r="D17" s="17"/>
      <c r="E17" s="17"/>
      <c r="F17" s="17"/>
      <c r="G17" s="17"/>
    </row>
    <row r="18" spans="1:7" ht="15.6" x14ac:dyDescent="0.3">
      <c r="A18" s="4" t="s">
        <v>5</v>
      </c>
      <c r="B18" s="8"/>
      <c r="C18" s="9">
        <f>+C12-SUM(C14:C17)</f>
        <v>0</v>
      </c>
      <c r="D18" s="9">
        <f t="shared" ref="D18:G18" si="5">+D12-SUM(D14:D17)</f>
        <v>0</v>
      </c>
      <c r="E18" s="9">
        <f t="shared" si="5"/>
        <v>0</v>
      </c>
      <c r="F18" s="9">
        <f t="shared" si="5"/>
        <v>0</v>
      </c>
      <c r="G18" s="9">
        <f t="shared" si="5"/>
        <v>0</v>
      </c>
    </row>
    <row r="19" spans="1:7" ht="15.6" x14ac:dyDescent="0.3">
      <c r="A19" s="7" t="s">
        <v>6</v>
      </c>
      <c r="B19" s="8"/>
      <c r="C19" s="9">
        <f>IF(C18&lt;0,C18*0.25,0)</f>
        <v>0</v>
      </c>
      <c r="D19" s="9">
        <f>IF(D18&lt;0,-D18*0.25,0)</f>
        <v>0</v>
      </c>
      <c r="E19" s="9">
        <f t="shared" ref="E19:G19" si="6">IF(E18&lt;0,E18*0.25,0)</f>
        <v>0</v>
      </c>
      <c r="F19" s="9">
        <f t="shared" si="6"/>
        <v>0</v>
      </c>
      <c r="G19" s="9">
        <f t="shared" si="6"/>
        <v>0</v>
      </c>
    </row>
    <row r="20" spans="1:7" ht="15.6" x14ac:dyDescent="0.3">
      <c r="A20" s="4" t="s">
        <v>7</v>
      </c>
      <c r="B20" s="8"/>
      <c r="C20" s="9">
        <f>+C18+C19</f>
        <v>0</v>
      </c>
      <c r="D20" s="9">
        <f>+D18+D19</f>
        <v>0</v>
      </c>
      <c r="E20" s="9">
        <f>+E18+E19</f>
        <v>0</v>
      </c>
      <c r="F20" s="9">
        <f>+F18+F19</f>
        <v>0</v>
      </c>
      <c r="G20" s="9">
        <f>+G18+G19</f>
        <v>0</v>
      </c>
    </row>
    <row r="21" spans="1:7" ht="15.6" x14ac:dyDescent="0.3">
      <c r="A21" s="7"/>
      <c r="B21" s="10"/>
      <c r="C21" s="9"/>
      <c r="D21" s="9"/>
      <c r="E21" s="9"/>
      <c r="F21" s="9"/>
      <c r="G21" s="9"/>
    </row>
    <row r="22" spans="1:7" ht="15.6" x14ac:dyDescent="0.3">
      <c r="A22" s="4" t="s">
        <v>8</v>
      </c>
      <c r="B22" s="10"/>
      <c r="C22" s="9"/>
      <c r="D22" s="9"/>
      <c r="E22" s="9"/>
      <c r="F22" s="9"/>
      <c r="G22" s="9"/>
    </row>
    <row r="23" spans="1:7" ht="32.25" customHeight="1" x14ac:dyDescent="0.3">
      <c r="A23" s="15" t="s">
        <v>33</v>
      </c>
      <c r="B23" s="19"/>
      <c r="C23" s="9"/>
      <c r="D23" s="9"/>
      <c r="E23" s="9"/>
      <c r="F23" s="9"/>
      <c r="G23" s="9"/>
    </row>
    <row r="24" spans="1:7" ht="15.6" x14ac:dyDescent="0.3">
      <c r="A24" s="7" t="s">
        <v>9</v>
      </c>
      <c r="B24" s="17"/>
      <c r="C24" s="9"/>
      <c r="D24" s="9"/>
      <c r="E24" s="9"/>
      <c r="F24" s="9"/>
      <c r="G24" s="9"/>
    </row>
    <row r="25" spans="1:7" ht="15.6" x14ac:dyDescent="0.3">
      <c r="A25" s="28" t="s">
        <v>36</v>
      </c>
      <c r="B25" s="17"/>
      <c r="C25" s="9"/>
      <c r="D25" s="9"/>
      <c r="E25" s="9"/>
      <c r="F25" s="9"/>
      <c r="G25" s="9"/>
    </row>
    <row r="26" spans="1:7" ht="15.6" x14ac:dyDescent="0.3">
      <c r="A26" s="7" t="s">
        <v>18</v>
      </c>
      <c r="B26" s="17"/>
      <c r="C26" s="9"/>
      <c r="D26" s="9"/>
      <c r="E26" s="9"/>
      <c r="F26" s="9"/>
      <c r="G26" s="9"/>
    </row>
    <row r="27" spans="1:7" ht="48" customHeight="1" x14ac:dyDescent="0.3">
      <c r="A27" s="14" t="s">
        <v>32</v>
      </c>
      <c r="B27" s="9">
        <f>SUM(C14:C17)/4</f>
        <v>0</v>
      </c>
      <c r="C27" s="9"/>
      <c r="D27" s="9"/>
      <c r="E27" s="9"/>
      <c r="F27" s="9"/>
      <c r="G27" s="9"/>
    </row>
    <row r="28" spans="1:7" ht="21.75" customHeight="1" x14ac:dyDescent="0.3">
      <c r="A28" s="7" t="s">
        <v>19</v>
      </c>
      <c r="B28" s="10">
        <f>SUM(B23:B27)</f>
        <v>0</v>
      </c>
      <c r="C28" s="10">
        <f t="shared" ref="C28:G28" si="7">SUM(C23:C27)</f>
        <v>0</v>
      </c>
      <c r="D28" s="10">
        <f t="shared" si="7"/>
        <v>0</v>
      </c>
      <c r="E28" s="10">
        <f t="shared" si="7"/>
        <v>0</v>
      </c>
      <c r="F28" s="10">
        <f t="shared" si="7"/>
        <v>0</v>
      </c>
      <c r="G28" s="10">
        <f t="shared" si="7"/>
        <v>0</v>
      </c>
    </row>
    <row r="29" spans="1:7" ht="16.5" customHeight="1" x14ac:dyDescent="0.4">
      <c r="A29" s="11"/>
    </row>
    <row r="30" spans="1:7" ht="16.5" customHeight="1" x14ac:dyDescent="0.3">
      <c r="A30" s="20" t="s">
        <v>27</v>
      </c>
      <c r="B30" s="21"/>
      <c r="C30" s="22">
        <v>1</v>
      </c>
      <c r="D30" s="22">
        <v>2</v>
      </c>
      <c r="E30" s="22">
        <v>3</v>
      </c>
      <c r="F30" s="22">
        <v>4</v>
      </c>
      <c r="G30" s="22">
        <v>5</v>
      </c>
    </row>
    <row r="31" spans="1:7" ht="16.5" customHeight="1" x14ac:dyDescent="0.3">
      <c r="A31" s="7" t="s">
        <v>25</v>
      </c>
      <c r="B31" s="10">
        <f>-B28</f>
        <v>0</v>
      </c>
      <c r="C31" s="10">
        <f>+C20-C28</f>
        <v>0</v>
      </c>
      <c r="D31" s="10">
        <f t="shared" ref="D31:G31" si="8">+D20-D28</f>
        <v>0</v>
      </c>
      <c r="E31" s="10">
        <f t="shared" si="8"/>
        <v>0</v>
      </c>
      <c r="F31" s="10">
        <f t="shared" si="8"/>
        <v>0</v>
      </c>
      <c r="G31" s="10">
        <f t="shared" si="8"/>
        <v>0</v>
      </c>
    </row>
    <row r="32" spans="1:7" ht="16.5" customHeight="1" x14ac:dyDescent="0.3">
      <c r="A32" s="7" t="s">
        <v>28</v>
      </c>
      <c r="B32" s="10">
        <f>+B31</f>
        <v>0</v>
      </c>
      <c r="C32" s="10">
        <f>+C31/(1+$B$30)</f>
        <v>0</v>
      </c>
      <c r="D32" s="10">
        <f>+D31/((1+$B$30)^2)</f>
        <v>0</v>
      </c>
      <c r="E32" s="10">
        <f>+E31/((1+$B$30)^3)</f>
        <v>0</v>
      </c>
      <c r="F32" s="10">
        <f>+F31/((1+$B$30)^4)</f>
        <v>0</v>
      </c>
      <c r="G32" s="10">
        <f>+G31/((1+$B$30)^5)</f>
        <v>0</v>
      </c>
    </row>
    <row r="33" spans="1:10" ht="15.6" x14ac:dyDescent="0.3">
      <c r="A33" s="7" t="s">
        <v>29</v>
      </c>
      <c r="B33" s="10">
        <f>B31+NPV(B30,C31,D31,E31,F31,G31)</f>
        <v>0</v>
      </c>
      <c r="C33" s="10"/>
      <c r="D33" s="10"/>
      <c r="E33" s="10"/>
      <c r="F33" s="10"/>
      <c r="G33" s="10"/>
      <c r="J33" s="12"/>
    </row>
    <row r="34" spans="1:10" ht="15.6" x14ac:dyDescent="0.3">
      <c r="A34" s="23" t="s">
        <v>30</v>
      </c>
      <c r="B34" s="24" t="e">
        <f>IRR(B31:G31)</f>
        <v>#NUM!</v>
      </c>
      <c r="C34" s="10"/>
      <c r="D34" s="10"/>
      <c r="E34" s="10"/>
      <c r="F34" s="10"/>
      <c r="G34" s="10"/>
    </row>
    <row r="35" spans="1:10" ht="15.6" x14ac:dyDescent="0.3">
      <c r="A35" s="23" t="s">
        <v>31</v>
      </c>
      <c r="B35" s="10">
        <f>+B31</f>
        <v>0</v>
      </c>
      <c r="C35" s="10" t="e">
        <f>+C31/((1+$B$34)^C30)</f>
        <v>#NUM!</v>
      </c>
      <c r="D35" s="10" t="e">
        <f>+D31/((1+$B$34)^D30)</f>
        <v>#NUM!</v>
      </c>
      <c r="E35" s="10" t="e">
        <f>+E31/((1+$B$34)^E30)</f>
        <v>#NUM!</v>
      </c>
      <c r="F35" s="10" t="e">
        <f>+F31/((1+$B$34)^F30)</f>
        <v>#NUM!</v>
      </c>
      <c r="G35" s="10" t="e">
        <f>+G31/((1+$B$34)^G30)</f>
        <v>#NUM!</v>
      </c>
    </row>
    <row r="36" spans="1:10" x14ac:dyDescent="0.3">
      <c r="A36" s="25" t="s">
        <v>26</v>
      </c>
      <c r="B36" s="26">
        <f>IF(C32&gt;B28,1,IF(SUM(C32:D32)&gt;B28,2,IF(SUM(C32:E32)&gt;B28,3,IF(SUM(C32:F32)&gt;B28,4,5))))</f>
        <v>5</v>
      </c>
      <c r="C36" s="10"/>
      <c r="D36" s="10"/>
      <c r="E36" s="10"/>
      <c r="F36" s="10"/>
      <c r="G36" s="10"/>
    </row>
    <row r="37" spans="1:10" ht="15.6" x14ac:dyDescent="0.3">
      <c r="A37" s="7" t="s">
        <v>24</v>
      </c>
      <c r="B37" s="10"/>
      <c r="C37" s="10" t="e">
        <f>SUM(C15:C17)/(C4-C5)</f>
        <v>#DIV/0!</v>
      </c>
      <c r="D37" s="10" t="e">
        <f t="shared" ref="D37:G37" si="9">SUM(D15:D17)/(D4-D5)</f>
        <v>#DIV/0!</v>
      </c>
      <c r="E37" s="10" t="e">
        <f t="shared" si="9"/>
        <v>#DIV/0!</v>
      </c>
      <c r="F37" s="10" t="e">
        <f t="shared" si="9"/>
        <v>#DIV/0!</v>
      </c>
      <c r="G37" s="10" t="e">
        <f t="shared" si="9"/>
        <v>#DIV/0!</v>
      </c>
    </row>
    <row r="40" spans="1:10" x14ac:dyDescent="0.3">
      <c r="B40" s="13"/>
    </row>
    <row r="43" spans="1:10" x14ac:dyDescent="0.3">
      <c r="B43" s="13"/>
    </row>
  </sheetData>
  <sheetProtection formatCells="0" formatColumns="0" formatRows="0" insertColumns="0" insertRows="0" insertHyperlinks="0" deleteColumns="0" deleteRows="0"/>
  <pageMargins left="0.51181102362204722" right="0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Dicas</vt:lpstr>
      <vt:lpstr>Business Model Canvas</vt:lpstr>
      <vt:lpstr>Plano Financeiro</vt:lpstr>
      <vt:lpstr>'Plano Financeiro'!Area_de_impressao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Realide</dc:creator>
  <cp:lastModifiedBy>Flavio Morgado</cp:lastModifiedBy>
  <cp:lastPrinted>2016-10-06T20:31:56Z</cp:lastPrinted>
  <dcterms:created xsi:type="dcterms:W3CDTF">2015-08-19T21:04:40Z</dcterms:created>
  <dcterms:modified xsi:type="dcterms:W3CDTF">2024-10-30T02:14:25Z</dcterms:modified>
</cp:coreProperties>
</file>